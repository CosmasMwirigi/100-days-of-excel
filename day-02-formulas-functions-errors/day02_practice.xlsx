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Operators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4" customWidth="1" min="3" max="3"/>
    <col width="12" customWidth="1" min="4" max="4"/>
    <col width="14" customWidth="1" min="5" max="5"/>
    <col width="10" customWidth="1" min="6" max="6"/>
    <col width="14" customWidth="1" min="7" max="7"/>
    <col width="14" customWidth="1" min="8" max="8"/>
    <col width="3" customWidth="1" min="9" max="9"/>
    <col width="32" customWidth="1" min="10" max="10"/>
    <col width="12" customWidth="1" min="11" max="11"/>
  </cols>
  <sheetData>
    <row r="1">
      <c r="A1" s="1" t="inlineStr">
        <is>
          <t>Day 2 of #100DaysOfExcel: logical functions, cell references and COUNT functions</t>
        </is>
      </c>
    </row>
    <row r="2">
      <c r="A2" s="2" t="inlineStr">
        <is>
          <t>Job Title</t>
        </is>
      </c>
      <c r="B2" s="2" t="inlineStr">
        <is>
          <t>Experience (Years)</t>
        </is>
      </c>
      <c r="C2" s="2" t="inlineStr">
        <is>
          <t>Annual Salary ($)</t>
        </is>
      </c>
      <c r="D2" s="2" t="inlineStr">
        <is>
          <t>Bonus Max ($)</t>
        </is>
      </c>
      <c r="E2" s="2" t="inlineStr">
        <is>
          <t>Meets Both (TRUE/FALSE)</t>
        </is>
      </c>
      <c r="F2" s="2" t="inlineStr">
        <is>
          <t>Meets Both (1/0)</t>
        </is>
      </c>
      <c r="G2" s="2" t="inlineStr">
        <is>
          <t>Salary Band (IFS)</t>
        </is>
      </c>
      <c r="H2" s="2" t="inlineStr">
        <is>
          <t>Senior OR High Pay (OR)</t>
        </is>
      </c>
      <c r="J2" s="3" t="inlineStr">
        <is>
          <t>Job Goals</t>
        </is>
      </c>
    </row>
    <row r="3">
      <c r="A3" s="4" t="inlineStr">
        <is>
          <t>Data Scientist</t>
        </is>
      </c>
      <c r="B3" s="4" t="n">
        <v>5</v>
      </c>
      <c r="C3" s="4" t="n">
        <v>120000</v>
      </c>
      <c r="D3" s="4" t="n">
        <v>10000</v>
      </c>
      <c r="E3">
        <f>AND(B3&lt;=$K$3,C3+D3&gt;=$K$4)</f>
        <v/>
      </c>
      <c r="F3">
        <f>E3*1</f>
        <v/>
      </c>
      <c r="G3">
        <f>_xlfn.IFS($C3="","NO DATA",$C3&gt;=$K$5,"High",$C3&gt;=100000,"Mid",TRUE,"Low")</f>
        <v/>
      </c>
      <c r="H3">
        <f>OR(B3&gt;=7,C3&gt;=140000)</f>
        <v/>
      </c>
      <c r="J3" t="inlineStr">
        <is>
          <t>Experience (&lt;=)</t>
        </is>
      </c>
      <c r="K3" s="4" t="n">
        <v>5</v>
      </c>
    </row>
    <row r="4">
      <c r="A4" s="4" t="inlineStr">
        <is>
          <t>Machine Learning Engineer</t>
        </is>
      </c>
      <c r="B4" s="4" t="n">
        <v>4</v>
      </c>
      <c r="C4" s="4" t="n">
        <v>135000</v>
      </c>
      <c r="D4" s="4" t="n">
        <v>12000</v>
      </c>
      <c r="E4">
        <f>AND(B4&lt;=$K$3,C4+D4&gt;=$K$4)</f>
        <v/>
      </c>
      <c r="F4">
        <f>E4*1</f>
        <v/>
      </c>
      <c r="G4">
        <f>_xlfn.IFS($C4="","NO DATA",$C4&gt;=$K$5,"High",$C4&gt;=100000,"Mid",TRUE,"Low")</f>
        <v/>
      </c>
      <c r="H4">
        <f>OR(B4&gt;=7,C4&gt;=140000)</f>
        <v/>
      </c>
      <c r="J4" t="inlineStr">
        <is>
          <t>Total Salary (&gt;=)</t>
        </is>
      </c>
      <c r="K4" s="4" t="n">
        <v>90000</v>
      </c>
    </row>
    <row r="5">
      <c r="A5" s="4" t="inlineStr">
        <is>
          <t>Data Analyst</t>
        </is>
      </c>
      <c r="B5" s="4" t="n">
        <v>2</v>
      </c>
      <c r="C5" s="4" t="n">
        <v>75000</v>
      </c>
      <c r="D5" s="4" t="n">
        <v>5000</v>
      </c>
      <c r="E5">
        <f>AND(B5&lt;=$K$3,C5+D5&gt;=$K$4)</f>
        <v/>
      </c>
      <c r="F5">
        <f>E5*1</f>
        <v/>
      </c>
      <c r="G5">
        <f>_xlfn.IFS($C5="","NO DATA",$C5&gt;=$K$5,"High",$C5&gt;=100000,"Mid",TRUE,"Low")</f>
        <v/>
      </c>
      <c r="H5">
        <f>OR(B5&gt;=7,C5&gt;=140000)</f>
        <v/>
      </c>
      <c r="J5" t="inlineStr">
        <is>
          <t>High band from</t>
        </is>
      </c>
      <c r="K5" s="4" t="n">
        <v>130000</v>
      </c>
    </row>
    <row r="6">
      <c r="A6" s="4" t="inlineStr">
        <is>
          <t>Business Intelligence Dev</t>
        </is>
      </c>
      <c r="B6" s="4" t="n">
        <v>6</v>
      </c>
      <c r="C6" s="4" t="n">
        <v>110000</v>
      </c>
      <c r="D6" s="4" t="n">
        <v>8000</v>
      </c>
      <c r="E6">
        <f>AND(B6&lt;=$K$3,C6+D6&gt;=$K$4)</f>
        <v/>
      </c>
      <c r="F6">
        <f>E6*1</f>
        <v/>
      </c>
      <c r="G6">
        <f>_xlfn.IFS($C6="","NO DATA",$C6&gt;=$K$5,"High",$C6&gt;=100000,"Mid",TRUE,"Low")</f>
        <v/>
      </c>
      <c r="H6">
        <f>OR(B6&gt;=7,C6&gt;=140000)</f>
        <v/>
      </c>
    </row>
    <row r="7">
      <c r="A7" s="4" t="inlineStr">
        <is>
          <t>Data Engineer</t>
        </is>
      </c>
      <c r="B7" s="4" t="n">
        <v>3</v>
      </c>
      <c r="C7" s="4" t="n">
        <v>125000</v>
      </c>
      <c r="D7" s="4" t="n">
        <v>11000</v>
      </c>
      <c r="E7">
        <f>AND(B7&lt;=$K$3,C7+D7&gt;=$K$4)</f>
        <v/>
      </c>
      <c r="F7">
        <f>E7*1</f>
        <v/>
      </c>
      <c r="G7">
        <f>_xlfn.IFS($C7="","NO DATA",$C7&gt;=$K$5,"High",$C7&gt;=100000,"Mid",TRUE,"Low")</f>
        <v/>
      </c>
      <c r="H7">
        <f>OR(B7&gt;=7,C7&gt;=140000)</f>
        <v/>
      </c>
      <c r="J7" s="3" t="inlineStr">
        <is>
          <t>Counts</t>
        </is>
      </c>
    </row>
    <row r="8">
      <c r="A8" s="4" t="inlineStr">
        <is>
          <t>Statistician</t>
        </is>
      </c>
      <c r="B8" s="4" t="n">
        <v>7</v>
      </c>
      <c r="C8" s="4" t="n">
        <v>90000</v>
      </c>
      <c r="D8" s="4" t="n">
        <v>7000</v>
      </c>
      <c r="E8">
        <f>AND(B8&lt;=$K$3,C8+D8&gt;=$K$4)</f>
        <v/>
      </c>
      <c r="F8">
        <f>E8*1</f>
        <v/>
      </c>
      <c r="G8">
        <f>_xlfn.IFS($C8="","NO DATA",$C8&gt;=$K$5,"High",$C8&gt;=100000,"Mid",TRUE,"Low")</f>
        <v/>
      </c>
      <c r="H8">
        <f>OR(B8&gt;=7,C8&gt;=140000)</f>
        <v/>
      </c>
      <c r="J8" t="inlineStr">
        <is>
          <t>COUNT (numbers in salary)</t>
        </is>
      </c>
      <c r="K8">
        <f>COUNT(C3:C13)</f>
        <v/>
      </c>
    </row>
    <row r="9">
      <c r="A9" s="4" t="inlineStr">
        <is>
          <t>Data Architect</t>
        </is>
      </c>
      <c r="B9" s="4" t="n">
        <v>10</v>
      </c>
      <c r="C9" s="4" t="n">
        <v>150000</v>
      </c>
      <c r="D9" s="4" t="n">
        <v>15000</v>
      </c>
      <c r="E9">
        <f>AND(B9&lt;=$K$3,C9+D9&gt;=$K$4)</f>
        <v/>
      </c>
      <c r="F9">
        <f>E9*1</f>
        <v/>
      </c>
      <c r="G9">
        <f>_xlfn.IFS($C9="","NO DATA",$C9&gt;=$K$5,"High",$C9&gt;=100000,"Mid",TRUE,"Low")</f>
        <v/>
      </c>
      <c r="H9">
        <f>OR(B9&gt;=7,C9&gt;=140000)</f>
        <v/>
      </c>
      <c r="J9" t="inlineStr">
        <is>
          <t>COUNTA (non-empty titles)</t>
        </is>
      </c>
      <c r="K9">
        <f>COUNTA(A3:A13)</f>
        <v/>
      </c>
    </row>
    <row r="10">
      <c r="A10" s="4" t="inlineStr">
        <is>
          <t>Research Scientist</t>
        </is>
      </c>
      <c r="B10" s="4" t="n">
        <v>8</v>
      </c>
      <c r="C10" s="4" t="n">
        <v>130000</v>
      </c>
      <c r="D10" s="4" t="n">
        <v>13000</v>
      </c>
      <c r="E10">
        <f>AND(B10&lt;=$K$3,C10+D10&gt;=$K$4)</f>
        <v/>
      </c>
      <c r="F10">
        <f>E10*1</f>
        <v/>
      </c>
      <c r="G10">
        <f>_xlfn.IFS($C10="","NO DATA",$C10&gt;=$K$5,"High",$C10&gt;=100000,"Mid",TRUE,"Low")</f>
        <v/>
      </c>
      <c r="H10">
        <f>OR(B10&gt;=7,C10&gt;=140000)</f>
        <v/>
      </c>
      <c r="J10" t="inlineStr">
        <is>
          <t>COUNTBLANK (empty salaries)</t>
        </is>
      </c>
      <c r="K10">
        <f>COUNTBLANK(C3:C13)</f>
        <v/>
      </c>
    </row>
    <row r="11">
      <c r="A11" s="4" t="inlineStr">
        <is>
          <t>AI Specialist</t>
        </is>
      </c>
      <c r="B11" s="4" t="n">
        <v>3</v>
      </c>
      <c r="C11" s="4" t="n">
        <v>140000</v>
      </c>
      <c r="D11" s="4" t="n">
        <v>14000</v>
      </c>
      <c r="E11">
        <f>AND(B11&lt;=$K$3,C11+D11&gt;=$K$4)</f>
        <v/>
      </c>
      <c r="F11">
        <f>E11*1</f>
        <v/>
      </c>
      <c r="G11">
        <f>_xlfn.IFS($C11="","NO DATA",$C11&gt;=$K$5,"High",$C11&gt;=100000,"Mid",TRUE,"Low")</f>
        <v/>
      </c>
      <c r="H11">
        <f>OR(B11&gt;=7,C11&gt;=140000)</f>
        <v/>
      </c>
      <c r="J11" t="inlineStr">
        <is>
          <t>COUNTIF salary &gt;= goal (dynamic)</t>
        </is>
      </c>
      <c r="K11">
        <f>COUNTIF($C$3:$C$13,"&gt;="&amp;$K$4)</f>
        <v/>
      </c>
    </row>
    <row r="12">
      <c r="A12" s="4" t="inlineStr">
        <is>
          <t>Big Data Engineer</t>
        </is>
      </c>
      <c r="B12" s="4" t="n">
        <v>5</v>
      </c>
      <c r="C12" s="4" t="n">
        <v>115000</v>
      </c>
      <c r="D12" s="4" t="n">
        <v>9000</v>
      </c>
      <c r="E12">
        <f>AND(B12&lt;=$K$3,C12+D12&gt;=$K$4)</f>
        <v/>
      </c>
      <c r="F12">
        <f>E12*1</f>
        <v/>
      </c>
      <c r="G12">
        <f>_xlfn.IFS($C12="","NO DATA",$C12&gt;=$K$5,"High",$C12&gt;=100000,"Mid",TRUE,"Low")</f>
        <v/>
      </c>
      <c r="H12">
        <f>OR(B12&gt;=7,C12&gt;=140000)</f>
        <v/>
      </c>
      <c r="J12" t="inlineStr">
        <is>
          <t>COUNTIF meets both = TRUE</t>
        </is>
      </c>
      <c r="K12">
        <f>COUNTIF(E3:E13,TRUE)</f>
        <v/>
      </c>
    </row>
    <row r="13">
      <c r="A13" s="4" t="inlineStr">
        <is>
          <t>Junior Analyst</t>
        </is>
      </c>
      <c r="B13" s="4" t="n">
        <v>1</v>
      </c>
      <c r="C13" s="4" t="n"/>
      <c r="D13" s="4" t="n"/>
      <c r="E13">
        <f>AND(B13&lt;=$K$3,C13+D13&gt;=$K$4)</f>
        <v/>
      </c>
      <c r="F13">
        <f>E13*1</f>
        <v/>
      </c>
      <c r="G13">
        <f>_xlfn.IFS($C13="","NO DATA",$C13&gt;=$K$5,"High",$C13&gt;=100000,"Mid",TRUE,"Low")</f>
        <v/>
      </c>
      <c r="H13">
        <f>OR(B13&gt;=7,C13&gt;=140000)</f>
        <v/>
      </c>
      <c r="J13" t="inlineStr">
        <is>
          <t>SUM of 1/0 column</t>
        </is>
      </c>
      <c r="K13">
        <f>SUM(F3:F13)</f>
        <v/>
      </c>
    </row>
    <row r="14">
      <c r="J14" t="inlineStr">
        <is>
          <t>AVERAGE salary</t>
        </is>
      </c>
      <c r="K14">
        <f>AVERAGE(C3:C13)</f>
        <v/>
      </c>
    </row>
    <row r="16">
      <c r="J16" s="5" t="inlineStr">
        <is>
          <t>Change K4 and every count and TRUE/FALSE updates: that's why we reference cells instead of typing 90000.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2" customWidth="1" min="3" max="3"/>
  </cols>
  <sheetData>
    <row r="1">
      <c r="A1" s="2" t="inlineStr">
        <is>
          <t>Formula (as text)</t>
        </is>
      </c>
      <c r="B1" s="2" t="inlineStr">
        <is>
          <t>Result</t>
        </is>
      </c>
      <c r="C1" s="2" t="inlineStr">
        <is>
          <t>Why</t>
        </is>
      </c>
    </row>
    <row r="2">
      <c r="A2" t="inlineStr">
        <is>
          <t xml:space="preserve"> =2+3*4</t>
        </is>
      </c>
      <c r="B2">
        <f>2+3*4</f>
        <v/>
      </c>
      <c r="C2" t="inlineStr">
        <is>
          <t>* runs before +</t>
        </is>
      </c>
    </row>
    <row r="3">
      <c r="A3" t="inlineStr">
        <is>
          <t xml:space="preserve"> =(2+3)*4</t>
        </is>
      </c>
      <c r="B3">
        <f>(2+3)*4</f>
        <v/>
      </c>
      <c r="C3" t="inlineStr">
        <is>
          <t>brackets run first</t>
        </is>
      </c>
    </row>
    <row r="4">
      <c r="A4" t="inlineStr">
        <is>
          <t xml:space="preserve"> =2^3*2</t>
        </is>
      </c>
      <c r="B4">
        <f>2^3*2</f>
        <v/>
      </c>
      <c r="C4" t="inlineStr">
        <is>
          <t>^ runs before *</t>
        </is>
      </c>
    </row>
    <row r="5">
      <c r="A5" t="inlineStr">
        <is>
          <t xml:space="preserve"> =10/2-3</t>
        </is>
      </c>
      <c r="B5">
        <f>10/2-3</f>
        <v/>
      </c>
      <c r="C5" t="inlineStr">
        <is>
          <t>/ runs before -</t>
        </is>
      </c>
    </row>
    <row r="6">
      <c r="A6" t="inlineStr">
        <is>
          <t xml:space="preserve"> ="Data"&amp;" "&amp;"Analyst"</t>
        </is>
      </c>
      <c r="B6">
        <f>"Data"&amp;" "&amp;"Analyst"</f>
        <v/>
      </c>
      <c r="C6" t="inlineStr">
        <is>
          <t>&amp; joins text after maths</t>
        </is>
      </c>
    </row>
    <row r="7">
      <c r="A7" t="inlineStr">
        <is>
          <t xml:space="preserve"> =5&gt;3</t>
        </is>
      </c>
      <c r="B7">
        <f>5&gt;3</f>
        <v/>
      </c>
      <c r="C7" t="inlineStr">
        <is>
          <t>comparison gives TRUE/FALSE</t>
        </is>
      </c>
    </row>
    <row r="8">
      <c r="A8" t="inlineStr">
        <is>
          <t xml:space="preserve"> =5&lt;&gt;5</t>
        </is>
      </c>
      <c r="B8">
        <f>5&lt;&gt;5</f>
        <v/>
      </c>
      <c r="C8" t="inlineStr">
        <is>
          <t>&lt;&gt; means not equal to</t>
        </is>
      </c>
    </row>
    <row r="9">
      <c r="A9" t="inlineStr">
        <is>
          <t xml:space="preserve"> =TRUE*1</t>
        </is>
      </c>
      <c r="B9">
        <f>TRUE*1</f>
        <v/>
      </c>
      <c r="C9" t="inlineStr">
        <is>
          <t>TRUE is 1</t>
        </is>
      </c>
    </row>
    <row r="10">
      <c r="A10" t="inlineStr">
        <is>
          <t xml:space="preserve"> =FALSE*1</t>
        </is>
      </c>
      <c r="B10">
        <f>FALSE*1</f>
        <v/>
      </c>
      <c r="C10" t="inlineStr">
        <is>
          <t>FALSE is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52" customWidth="1" min="4" max="4"/>
  </cols>
  <sheetData>
    <row r="1">
      <c r="A1" s="2" t="inlineStr">
        <is>
          <t>Error</t>
        </is>
      </c>
      <c r="B1" s="2" t="inlineStr">
        <is>
          <t>Formula that causes it</t>
        </is>
      </c>
      <c r="C1" s="2" t="inlineStr">
        <is>
          <t>Live result</t>
        </is>
      </c>
      <c r="D1" s="2" t="inlineStr">
        <is>
          <t>What it means</t>
        </is>
      </c>
    </row>
    <row r="2">
      <c r="A2" s="3" t="e">
        <v>#DIV/0!</v>
      </c>
      <c r="B2" t="inlineStr">
        <is>
          <t xml:space="preserve"> =1/0</t>
        </is>
      </c>
      <c r="C2">
        <f>1/0</f>
        <v/>
      </c>
      <c r="D2" t="inlineStr">
        <is>
          <t>The formula is trying to divide by zero</t>
        </is>
      </c>
    </row>
    <row r="3">
      <c r="A3" s="3" t="e">
        <v>#VALUE!</v>
      </c>
      <c r="B3" t="inlineStr">
        <is>
          <t xml:space="preserve"> =B4+"text"</t>
        </is>
      </c>
      <c r="C3">
        <f>B4+"text"</f>
        <v/>
      </c>
      <c r="D3" t="inlineStr">
        <is>
          <t>An argument is the wrong type</t>
        </is>
      </c>
    </row>
    <row r="4">
      <c r="A4" s="3" t="e">
        <v>#REF!</v>
      </c>
      <c r="B4" t="inlineStr">
        <is>
          <t xml:space="preserve"> =#REF!</t>
        </is>
      </c>
      <c r="C4">
        <f>#REF!</f>
        <v/>
      </c>
      <c r="D4" t="inlineStr">
        <is>
          <t>It refers to a cell that isn't valid, usually a deleted one</t>
        </is>
      </c>
    </row>
    <row r="5">
      <c r="A5" s="3" t="e">
        <v>#NAME?</v>
      </c>
      <c r="B5" t="inlineStr">
        <is>
          <t xml:space="preserve"> =COUNTT(A3:A9)</t>
        </is>
      </c>
      <c r="C5">
        <f>COUNTT(A3:A9)</f>
        <v/>
      </c>
      <c r="D5" t="inlineStr">
        <is>
          <t>It uses a name Excel doesn't recognise (a typo)</t>
        </is>
      </c>
    </row>
    <row r="6">
      <c r="A6" s="3" t="e">
        <v>#N/A</v>
      </c>
      <c r="B6" t="inlineStr">
        <is>
          <t xml:space="preserve"> =VLOOKUP("missing",A1:B10,2,FALSE)</t>
        </is>
      </c>
      <c r="C6">
        <f>VLOOKUP("missing",A1:B10,2,FALSE)</f>
        <v/>
      </c>
      <c r="D6" t="inlineStr">
        <is>
          <t>The data it's looking for isn't available</t>
        </is>
      </c>
    </row>
    <row r="7">
      <c r="A7" s="3" t="e">
        <v>#NUM!</v>
      </c>
      <c r="B7" t="inlineStr">
        <is>
          <t xml:space="preserve"> =SQRT(-1)</t>
        </is>
      </c>
      <c r="C7">
        <f>SQRT(-1)</f>
        <v/>
      </c>
      <c r="D7" t="inlineStr">
        <is>
          <t>There's a problem with a number in the formula</t>
        </is>
      </c>
    </row>
    <row r="8">
      <c r="A8" s="3" t="e">
        <v>#NULL!</v>
      </c>
      <c r="B8" t="inlineStr">
        <is>
          <t xml:space="preserve"> =SUM(A1:A3 C1:C3)</t>
        </is>
      </c>
      <c r="C8">
        <f>SUM(A1:A3 C1:C3)</f>
        <v/>
      </c>
      <c r="D8" t="inlineStr">
        <is>
          <t>Two ranges that don't intersect</t>
        </is>
      </c>
    </row>
    <row r="12">
      <c r="B1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2026-10-29T09:31:43Z</dcterms:created>
  <dcterms:modified xmlns:dcterms="http://purl.org/dc/terms/" xmlns:xsi="http://www.w3.org/2001/XMLSchema-instance" xsi:type="dcterms:W3CDTF">2026-10-29T09:31:43Z</dcterms:modified>
</cp:coreProperties>
</file>